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r\OneDrive\Desktop\"/>
    </mc:Choice>
  </mc:AlternateContent>
  <xr:revisionPtr revIDLastSave="0" documentId="8_{8AE48F5D-62B7-4409-AEE1-67FE805F8FE8}" xr6:coauthVersionLast="47" xr6:coauthVersionMax="47" xr10:uidLastSave="{00000000-0000-0000-0000-000000000000}"/>
  <bookViews>
    <workbookView xWindow="-108" yWindow="-108" windowWidth="23256" windowHeight="14616" activeTab="3" xr2:uid="{00000000-000D-0000-FFFF-FFFF00000000}"/>
  </bookViews>
  <sheets>
    <sheet name="Zoo_Data" sheetId="2" r:id="rId1"/>
    <sheet name="helpers" sheetId="7" r:id="rId2"/>
    <sheet name="Zoo_Dashboard" sheetId="5" r:id="rId3"/>
    <sheet name="guide" sheetId="8" r:id="rId4"/>
  </sheets>
  <definedNames>
    <definedName name="Category_List">#REF!</definedName>
    <definedName name="Diet_List">#REF!</definedName>
    <definedName name="Habitat_List">#REF!</definedName>
    <definedName name="IUCN_List">#REF!</definedName>
    <definedName name="Species_List">#REF!</definedName>
    <definedName name="Zoo_category">Zoo_Data!$H$2:$H$11</definedName>
    <definedName name="Zoo_diet">Zoo_Data!$D$2:$D$11</definedName>
    <definedName name="Zoo_habitat">Zoo_Data!$E$2:$E$11</definedName>
    <definedName name="Zoo_iucn">Zoo_Data!$F$2:$F$11</definedName>
    <definedName name="Zoo_length">Zoo_Data!$C$2:$C$11</definedName>
    <definedName name="Zoo_pop">Zoo_Data!$G$2:$G$11</definedName>
    <definedName name="Zoo_species">Zoo_Data!$A$2:$A$11</definedName>
    <definedName name="Zoo_weight">Zoo_Data!$B$2:$B$11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8" l="1" a="1"/>
  <c r="D95" i="8" s="1"/>
  <c r="E95" i="8"/>
  <c r="E98" i="8"/>
  <c r="C104" i="8"/>
  <c r="E104" i="8"/>
  <c r="C105" i="8"/>
  <c r="E105" i="8"/>
  <c r="E106" i="8"/>
  <c r="C107" i="8" a="1"/>
  <c r="C107" i="8" s="1"/>
  <c r="E108" i="8"/>
  <c r="C114" i="8" a="1"/>
  <c r="C114" i="8" s="1"/>
  <c r="E114" i="8"/>
  <c r="D115" i="8"/>
  <c r="D116" i="8" a="1"/>
  <c r="D116" i="8" s="1"/>
  <c r="D117" i="8"/>
  <c r="C123" i="8"/>
  <c r="E123" i="8"/>
  <c r="C125" i="8" a="1"/>
  <c r="C125" i="8" s="1"/>
  <c r="E125" i="8"/>
  <c r="C127" i="8"/>
  <c r="E127" i="8"/>
  <c r="C133" i="8" a="1"/>
  <c r="C133" i="8" s="1"/>
  <c r="E133" i="8"/>
  <c r="C135" i="8" a="1"/>
  <c r="C135" i="8" s="1"/>
  <c r="E135" i="8"/>
  <c r="D136" i="8"/>
  <c r="C137" i="8" a="1"/>
  <c r="C137" i="8" s="1"/>
  <c r="E137" i="8"/>
  <c r="E144" i="8"/>
  <c r="C145" i="8" a="1"/>
  <c r="C145" i="8" s="1"/>
  <c r="E145" i="8"/>
  <c r="C147" i="8" a="1"/>
  <c r="C147" i="8" s="1"/>
  <c r="E147" i="8"/>
  <c r="D165" i="8"/>
  <c r="D167" i="8"/>
  <c r="D168" i="8"/>
  <c r="A11" i="8"/>
  <c r="A19" i="8"/>
  <c r="A2" i="7"/>
  <c r="B35" i="5"/>
  <c r="B34" i="5"/>
  <c r="B33" i="5"/>
  <c r="B32" i="5"/>
  <c r="B31" i="5"/>
  <c r="B15" i="5"/>
  <c r="B14" i="5"/>
  <c r="B13" i="5"/>
  <c r="B12" i="5"/>
  <c r="B11" i="5"/>
  <c r="B10" i="5"/>
  <c r="B6" i="5"/>
  <c r="B5" i="5"/>
  <c r="B4" i="5"/>
  <c r="B3" i="5"/>
  <c r="C146" i="8" a="1"/>
  <c r="E146" i="8" a="1"/>
  <c r="E146" i="8" l="1"/>
  <c r="C146" i="8"/>
  <c r="E13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Type the animal name here (e.g., rock_hyrax). Later you’ll use it for XLOOKUP.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Enter average weight in kilograms (decimal allowed).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Enter average body length in cm.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Dropdown you will create: Herbivore / Omnivore / Carnivore.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Dropdown you will create: rocky / savanna / forest / desert / grassland.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Dropdown you will create: Least Concern → Critically Endangered.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Enter population (integer). Try adding data bars later.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Dropdown you will create: Hyrax / Meerkat / Elephant / etc.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<sst xmlns="http://schemas.openxmlformats.org/spreadsheetml/2006/main" count="275" uniqueCount="223">
  <si>
    <t>species</t>
  </si>
  <si>
    <t>avg_weight_kg</t>
  </si>
  <si>
    <t>avg_length_cm</t>
  </si>
  <si>
    <t>diet</t>
  </si>
  <si>
    <t>habitat</t>
  </si>
  <si>
    <t>iucn_status</t>
  </si>
  <si>
    <t>population_estimate</t>
  </si>
  <si>
    <t>category</t>
  </si>
  <si>
    <t>rock_hyrax</t>
  </si>
  <si>
    <t>4.50</t>
  </si>
  <si>
    <t>55.00</t>
  </si>
  <si>
    <t>Herbivore</t>
  </si>
  <si>
    <t>rocky</t>
  </si>
  <si>
    <t>Least Concern</t>
  </si>
  <si>
    <t>50000</t>
  </si>
  <si>
    <t>Hyrax</t>
  </si>
  <si>
    <t>bush_hyrax</t>
  </si>
  <si>
    <t>savanna</t>
  </si>
  <si>
    <t>Near Threatened</t>
  </si>
  <si>
    <t>tree_hyrax</t>
  </si>
  <si>
    <t>forest</t>
  </si>
  <si>
    <t>Vulnerable</t>
  </si>
  <si>
    <t>meerkat</t>
  </si>
  <si>
    <t>Omnivore</t>
  </si>
  <si>
    <t>Meerkat</t>
  </si>
  <si>
    <t>african_elephant</t>
  </si>
  <si>
    <t>Endangered</t>
  </si>
  <si>
    <t>Elephant</t>
  </si>
  <si>
    <t>rock_rabbit</t>
  </si>
  <si>
    <t>Rock Rabbit</t>
  </si>
  <si>
    <t>yellow_mongoose</t>
  </si>
  <si>
    <t>grassland</t>
  </si>
  <si>
    <t>Mongoose</t>
  </si>
  <si>
    <t>elephant_shrew</t>
  </si>
  <si>
    <t>Elephant Shrew</t>
  </si>
  <si>
    <t>cape_hyrax</t>
  </si>
  <si>
    <t>desert_meerkat</t>
  </si>
  <si>
    <t>desert</t>
  </si>
  <si>
    <t>Formula</t>
  </si>
  <si>
    <t>Category</t>
  </si>
  <si>
    <t>Dashboard</t>
  </si>
  <si>
    <t>Total Species</t>
  </si>
  <si>
    <t>Avg Weight (kg)</t>
  </si>
  <si>
    <t>Avg Population</t>
  </si>
  <si>
    <t>Endangered Count</t>
  </si>
  <si>
    <t>Avg Weight</t>
  </si>
  <si>
    <t>IUCN</t>
  </si>
  <si>
    <t>Count</t>
  </si>
  <si>
    <t>Critically Endangered</t>
  </si>
  <si>
    <t>Risk_Level (from Zoo_Data)</t>
  </si>
  <si>
    <r>
      <t xml:space="preserve">🧩 1️⃣ Why We “Stringify” (use quotes like </t>
    </r>
    <r>
      <rPr>
        <b/>
        <sz val="10"/>
        <color theme="1"/>
        <rFont val="Arial Unicode MS"/>
      </rPr>
      <t>"Near Threatened"</t>
    </r>
    <r>
      <rPr>
        <b/>
        <sz val="18"/>
        <color theme="1"/>
        <rFont val="Calibri"/>
        <family val="2"/>
        <scheme val="minor"/>
      </rPr>
      <t>)</t>
    </r>
  </si>
  <si>
    <r>
      <t xml:space="preserve">In Excel formulas such as </t>
    </r>
    <r>
      <rPr>
        <sz val="10"/>
        <color theme="1"/>
        <rFont val="Arial Unicode MS"/>
      </rPr>
      <t>COUNTIF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"text"</t>
    </r>
    <r>
      <rPr>
        <sz val="11"/>
        <color theme="1"/>
        <rFont val="Calibri"/>
        <family val="2"/>
        <scheme val="minor"/>
      </rPr>
      <t xml:space="preserve"> criteria </t>
    </r>
    <r>
      <rPr>
        <b/>
        <sz val="11"/>
        <color theme="1"/>
        <rFont val="Calibri"/>
        <family val="2"/>
        <scheme val="minor"/>
      </rPr>
      <t>must be enclosed in quotes</t>
    </r>
    <r>
      <rPr>
        <sz val="11"/>
        <color theme="1"/>
        <rFont val="Calibri"/>
        <family val="2"/>
        <scheme val="minor"/>
      </rPr>
      <t xml:space="preserve"> because:</t>
    </r>
  </si>
  <si>
    <r>
      <t xml:space="preserve">quotes tell Excel that it’s a </t>
    </r>
    <r>
      <rPr>
        <b/>
        <sz val="11"/>
        <color theme="1"/>
        <rFont val="Calibri"/>
        <family val="2"/>
        <scheme val="minor"/>
      </rPr>
      <t>literal value</t>
    </r>
    <r>
      <rPr>
        <sz val="11"/>
        <color theme="1"/>
        <rFont val="Calibri"/>
        <family val="2"/>
        <scheme val="minor"/>
      </rPr>
      <t>, not a reference or formula.</t>
    </r>
  </si>
  <si>
    <r>
      <t xml:space="preserve">otherwise Excel would look for a </t>
    </r>
    <r>
      <rPr>
        <b/>
        <sz val="11"/>
        <color theme="1"/>
        <rFont val="Calibri"/>
        <family val="2"/>
        <scheme val="minor"/>
      </rPr>
      <t>named range or variable</t>
    </r>
    <r>
      <rPr>
        <sz val="11"/>
        <color theme="1"/>
        <rFont val="Calibri"/>
        <family val="2"/>
        <scheme val="minor"/>
      </rPr>
      <t xml:space="preserve"> called </t>
    </r>
    <r>
      <rPr>
        <sz val="10"/>
        <color theme="1"/>
        <rFont val="Arial Unicode MS"/>
      </rPr>
      <t>Near Threatened</t>
    </r>
    <r>
      <rPr>
        <sz val="11"/>
        <color theme="1"/>
        <rFont val="Calibri"/>
        <family val="2"/>
        <scheme val="minor"/>
      </rPr>
      <t>, which doesn’t exist.</t>
    </r>
  </si>
  <si>
    <t>so:</t>
  </si>
  <si>
    <t>means:</t>
  </si>
  <si>
    <r>
      <t xml:space="preserve">count cells in F2:F11 whose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exactly equals “Near Threatened”.</t>
    </r>
  </si>
  <si>
    <r>
      <t xml:space="preserve">if instead you had a cell (say A2) containing that text, you could use </t>
    </r>
    <r>
      <rPr>
        <b/>
        <sz val="11"/>
        <color theme="1"/>
        <rFont val="Calibri"/>
        <family val="2"/>
        <scheme val="minor"/>
      </rPr>
      <t>a reference</t>
    </r>
    <r>
      <rPr>
        <sz val="11"/>
        <color theme="1"/>
        <rFont val="Calibri"/>
        <family val="2"/>
        <scheme val="minor"/>
      </rPr>
      <t xml:space="preserve"> without quotes:</t>
    </r>
  </si>
  <si>
    <t>🧠 rule of thumb:</t>
  </si>
  <si>
    <r>
      <t>"quoted"</t>
    </r>
    <r>
      <rPr>
        <sz val="11"/>
        <color theme="1"/>
        <rFont val="Calibri"/>
        <family val="2"/>
        <scheme val="minor"/>
      </rPr>
      <t xml:space="preserve"> = literal text you typed</t>
    </r>
  </si>
  <si>
    <r>
      <t>A2</t>
    </r>
    <r>
      <rPr>
        <sz val="11"/>
        <color theme="1"/>
        <rFont val="Calibri"/>
        <family val="2"/>
        <scheme val="minor"/>
      </rPr>
      <t xml:space="preserve"> = value inside a cell</t>
    </r>
  </si>
  <si>
    <t>📊 2️⃣ How Dashboards Are Built (step-by-step)</t>
  </si>
  <si>
    <r>
      <t xml:space="preserve">Dashboards are just </t>
    </r>
    <r>
      <rPr>
        <i/>
        <sz val="11"/>
        <color theme="1"/>
        <rFont val="Calibri"/>
        <family val="2"/>
        <scheme val="minor"/>
      </rPr>
      <t>a polished, interactive summary sheet</t>
    </r>
    <r>
      <rPr>
        <sz val="11"/>
        <color theme="1"/>
        <rFont val="Calibri"/>
        <family val="2"/>
        <scheme val="minor"/>
      </rPr>
      <t xml:space="preserve"> that combines:</t>
    </r>
  </si>
  <si>
    <r>
      <t xml:space="preserve">1️⃣ </t>
    </r>
    <r>
      <rPr>
        <b/>
        <sz val="11"/>
        <color theme="1"/>
        <rFont val="Calibri"/>
        <family val="2"/>
        <scheme val="minor"/>
      </rPr>
      <t>Data sheet(s)</t>
    </r>
    <r>
      <rPr>
        <sz val="11"/>
        <color theme="1"/>
        <rFont val="Calibri"/>
        <family val="2"/>
        <scheme val="minor"/>
      </rPr>
      <t xml:space="preserve"> → your </t>
    </r>
    <r>
      <rPr>
        <sz val="10"/>
        <color theme="1"/>
        <rFont val="Arial Unicode MS"/>
      </rPr>
      <t>Zoo_Data</t>
    </r>
    <r>
      <rPr>
        <sz val="11"/>
        <color theme="1"/>
        <rFont val="Calibri"/>
        <family val="2"/>
        <scheme val="minor"/>
      </rPr>
      <t xml:space="preserve"> table</t>
    </r>
  </si>
  <si>
    <r>
      <t xml:space="preserve">2️⃣ </t>
    </r>
    <r>
      <rPr>
        <b/>
        <sz val="11"/>
        <color theme="1"/>
        <rFont val="Calibri"/>
        <family val="2"/>
        <scheme val="minor"/>
      </rPr>
      <t>Helper summaries</t>
    </r>
    <r>
      <rPr>
        <sz val="11"/>
        <color theme="1"/>
        <rFont val="Calibri"/>
        <family val="2"/>
        <scheme val="minor"/>
      </rPr>
      <t xml:space="preserve"> → COUNTIF, AVERAGEIF, etc.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</si>
  <si>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Visualisation elements</t>
    </r>
    <r>
      <rPr>
        <sz val="11"/>
        <color theme="1"/>
        <rFont val="Calibri"/>
        <family val="2"/>
        <scheme val="minor"/>
      </rPr>
      <t xml:space="preserve"> → charts, slicers, KPI cards</t>
    </r>
  </si>
  <si>
    <t>🧱 Step-by-step layout:</t>
  </si>
  <si>
    <t>🔹 Step 1 — Prep the data</t>
  </si>
  <si>
    <r>
      <t>You already did this: a clean table with headers, formatted as a table (</t>
    </r>
    <r>
      <rPr>
        <sz val="10"/>
        <color theme="1"/>
        <rFont val="Arial Unicode MS"/>
      </rPr>
      <t>Ctrl+T</t>
    </r>
    <r>
      <rPr>
        <sz val="11"/>
        <color theme="1"/>
        <rFont val="Calibri"/>
        <family val="2"/>
        <scheme val="minor"/>
      </rPr>
      <t>).</t>
    </r>
  </si>
  <si>
    <t>🔹 Step 2 — Create your “Summary” area</t>
  </si>
  <si>
    <t>In a new sheet, make small tables like:</t>
  </si>
  <si>
    <t>Metric</t>
  </si>
  <si>
    <t>Result</t>
  </si>
  <si>
    <t>Endangered count</t>
  </si>
  <si>
    <t>=COUNTIF(Zoo_Data[iucn_status],"Endangered")</t>
  </si>
  <si>
    <t>1</t>
  </si>
  <si>
    <t>Average weight of Safe species</t>
  </si>
  <si>
    <t>=AVERAGEIF(Zoo_Data[risk_level],"Safe",Zoo_Data[avg_weight_kg])</t>
  </si>
  <si>
    <t>...</t>
  </si>
  <si>
    <t>🔹 Step 3 — Add visuals</t>
  </si>
  <si>
    <r>
      <t xml:space="preserve">Select your summary range and insert </t>
    </r>
    <r>
      <rPr>
        <b/>
        <sz val="11"/>
        <color theme="1"/>
        <rFont val="Calibri"/>
        <family val="2"/>
        <scheme val="minor"/>
      </rPr>
      <t>Column or Doughnut charts</t>
    </r>
    <r>
      <rPr>
        <sz val="11"/>
        <color theme="1"/>
        <rFont val="Calibri"/>
        <family val="2"/>
        <scheme val="minor"/>
      </rPr>
      <t>.</t>
    </r>
  </si>
  <si>
    <r>
      <t xml:space="preserve">Add </t>
    </r>
    <r>
      <rPr>
        <b/>
        <sz val="11"/>
        <color theme="1"/>
        <rFont val="Calibri"/>
        <family val="2"/>
        <scheme val="minor"/>
      </rPr>
      <t>Conditional Formatting icons</t>
    </r>
    <r>
      <rPr>
        <sz val="11"/>
        <color theme="1"/>
        <rFont val="Calibri"/>
        <family val="2"/>
        <scheme val="minor"/>
      </rPr>
      <t xml:space="preserve"> (traffic lights or bars).</t>
    </r>
  </si>
  <si>
    <r>
      <t xml:space="preserve">Add </t>
    </r>
    <r>
      <rPr>
        <b/>
        <sz val="11"/>
        <color theme="1"/>
        <rFont val="Calibri"/>
        <family val="2"/>
        <scheme val="minor"/>
      </rPr>
      <t>Cards</t>
    </r>
    <r>
      <rPr>
        <sz val="11"/>
        <color theme="1"/>
        <rFont val="Calibri"/>
        <family val="2"/>
        <scheme val="minor"/>
      </rPr>
      <t xml:space="preserve"> (merged cells with large numbers) for quick KPIs.</t>
    </r>
  </si>
  <si>
    <t>🔹 Step 4 — Add interactivity (optional)</t>
  </si>
  <si>
    <t>Use:</t>
  </si>
  <si>
    <r>
      <t>Slicers</t>
    </r>
    <r>
      <rPr>
        <sz val="11"/>
        <color theme="1"/>
        <rFont val="Calibri"/>
        <family val="2"/>
        <scheme val="minor"/>
      </rPr>
      <t xml:space="preserve"> (Insert → Slicer → choose </t>
    </r>
    <r>
      <rPr>
        <sz val="10"/>
        <color theme="1"/>
        <rFont val="Arial Unicode MS"/>
      </rPr>
      <t>iucn_status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diet</t>
    </r>
    <r>
      <rPr>
        <sz val="11"/>
        <color theme="1"/>
        <rFont val="Calibri"/>
        <family val="2"/>
        <scheme val="minor"/>
      </rPr>
      <t>)</t>
    </r>
  </si>
  <si>
    <r>
      <t>Pivot Charts</t>
    </r>
    <r>
      <rPr>
        <sz val="11"/>
        <color theme="1"/>
        <rFont val="Calibri"/>
        <family val="2"/>
        <scheme val="minor"/>
      </rPr>
      <t xml:space="preserve"> for filtered visual summaries</t>
    </r>
  </si>
  <si>
    <t>🔹 Step 5 — Style it</t>
  </si>
  <si>
    <t>use consistent colours (e.g. red = high risk, green = safe)</t>
  </si>
  <si>
    <t>hide gridlines</t>
  </si>
  <si>
    <t>bold the main KPIs</t>
  </si>
  <si>
    <t>if you like, I can:</t>
  </si>
  <si>
    <r>
      <t xml:space="preserve">⭐ make a </t>
    </r>
    <r>
      <rPr>
        <b/>
        <sz val="11"/>
        <color theme="1"/>
        <rFont val="Calibri"/>
        <family val="2"/>
        <scheme val="minor"/>
      </rPr>
      <t>ready-to-use dashboard sheet</t>
    </r>
    <r>
      <rPr>
        <sz val="11"/>
        <color theme="1"/>
        <rFont val="Calibri"/>
        <family val="2"/>
        <scheme val="minor"/>
      </rPr>
      <t xml:space="preserve"> (Zoo_Dashboard) with:</t>
    </r>
  </si>
  <si>
    <t>population by IUCN (chart)</t>
  </si>
  <si>
    <t>counts by diet</t>
  </si>
  <si>
    <t>average weight per risk tier</t>
  </si>
  <si>
    <t>coloured KPI cards</t>
  </si>
  <si>
    <t>🧩 Excel Formula Knowledge Master Sheet</t>
  </si>
  <si>
    <t>🧮 1️⃣ Formula Basics</t>
  </si>
  <si>
    <t>Concept</t>
  </si>
  <si>
    <t>Explanation</t>
  </si>
  <si>
    <t>Syntax</t>
  </si>
  <si>
    <t>Example</t>
  </si>
  <si>
    <t>Start of any formula</t>
  </si>
  <si>
    <r>
      <t xml:space="preserve">All formulas in Excel </t>
    </r>
    <r>
      <rPr>
        <b/>
        <sz val="11"/>
        <color theme="1"/>
        <rFont val="Calibri"/>
        <family val="2"/>
        <scheme val="minor"/>
      </rPr>
      <t>start with an equals sign (</t>
    </r>
    <r>
      <rPr>
        <b/>
        <sz val="10"/>
        <color theme="1"/>
        <rFont val="Arial Unicode MS"/>
      </rPr>
      <t>=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— it tells Excel to calculate, not display text.</t>
    </r>
  </si>
  <si>
    <t>Cell Reference</t>
  </si>
  <si>
    <r>
      <t>Refers to a value in another cell. Absolute (</t>
    </r>
    <r>
      <rPr>
        <sz val="10"/>
        <color theme="1"/>
        <rFont val="Arial Unicode MS"/>
      </rPr>
      <t>$A$1</t>
    </r>
    <r>
      <rPr>
        <sz val="11"/>
        <color theme="1"/>
        <rFont val="Calibri"/>
        <family val="2"/>
        <scheme val="minor"/>
      </rPr>
      <t>) means it never moves; relative (</t>
    </r>
    <r>
      <rPr>
        <sz val="10"/>
        <color theme="1"/>
        <rFont val="Arial Unicode MS"/>
      </rPr>
      <t>A1</t>
    </r>
    <r>
      <rPr>
        <sz val="11"/>
        <color theme="1"/>
        <rFont val="Calibri"/>
        <family val="2"/>
        <scheme val="minor"/>
      </rPr>
      <t>) shifts when copied.</t>
    </r>
  </si>
  <si>
    <r>
      <t>=A1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=$A$1</t>
    </r>
  </si>
  <si>
    <r>
      <t>=A1+B1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=$A$1+B1</t>
    </r>
  </si>
  <si>
    <t>Operator Order</t>
  </si>
  <si>
    <t>Excel follows PEMDAS (Parentheses, Exponent, Multiply/Divide, Add/Subtract).</t>
  </si>
  <si>
    <r>
      <t>=3+5*2</t>
    </r>
    <r>
      <rPr>
        <sz val="11"/>
        <color theme="1"/>
        <rFont val="Calibri"/>
        <family val="2"/>
        <scheme val="minor"/>
      </rPr>
      <t xml:space="preserve"> → 13</t>
    </r>
  </si>
  <si>
    <r>
      <t xml:space="preserve">Add brackets for clarity: </t>
    </r>
    <r>
      <rPr>
        <sz val="10"/>
        <color theme="1"/>
        <rFont val="Arial Unicode MS"/>
      </rPr>
      <t>=(3+5)*2</t>
    </r>
    <r>
      <rPr>
        <sz val="11"/>
        <color theme="1"/>
        <rFont val="Calibri"/>
        <family val="2"/>
        <scheme val="minor"/>
      </rPr>
      <t xml:space="preserve"> → 16</t>
    </r>
  </si>
  <si>
    <t>Text in formulas</t>
  </si>
  <si>
    <r>
      <t xml:space="preserve">Must always be in quotes </t>
    </r>
    <r>
      <rPr>
        <sz val="10"/>
        <color theme="1"/>
        <rFont val="Arial Unicode MS"/>
      </rPr>
      <t>" "</t>
    </r>
    <r>
      <rPr>
        <sz val="11"/>
        <color theme="1"/>
        <rFont val="Calibri"/>
        <family val="2"/>
        <scheme val="minor"/>
      </rPr>
      <t>.</t>
    </r>
  </si>
  <si>
    <t>"text"</t>
  </si>
  <si>
    <t>⚙️ 2️⃣ Common Mathematical Functions</t>
  </si>
  <si>
    <t>Function</t>
  </si>
  <si>
    <t>Description</t>
  </si>
  <si>
    <t>SUM</t>
  </si>
  <si>
    <t>Adds up values.</t>
  </si>
  <si>
    <t>AVERAGE</t>
  </si>
  <si>
    <t>Calculates the mean.</t>
  </si>
  <si>
    <t>MIN / MAX</t>
  </si>
  <si>
    <r>
      <t>=MIN(range)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=MAX(range)</t>
    </r>
  </si>
  <si>
    <t>Finds lowest / highest value.</t>
  </si>
  <si>
    <t>ROUND</t>
  </si>
  <si>
    <t>Rounds number to desired decimals.</t>
  </si>
  <si>
    <r>
      <t>=ROUND(12.345,2)</t>
    </r>
    <r>
      <rPr>
        <sz val="11"/>
        <color theme="1"/>
        <rFont val="Calibri"/>
        <family val="2"/>
        <scheme val="minor"/>
      </rPr>
      <t xml:space="preserve"> → 12.35</t>
    </r>
  </si>
  <si>
    <t>COUNT / COUNTA</t>
  </si>
  <si>
    <r>
      <t>=COUNT(range)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=COUNTA(range)</t>
    </r>
  </si>
  <si>
    <t>COUNT = numeric only; COUNTA = any non-empty cell.</t>
  </si>
  <si>
    <t>🧠 3️⃣ Conditional Logic</t>
  </si>
  <si>
    <t>IF</t>
  </si>
  <si>
    <t>Tests a condition.</t>
  </si>
  <si>
    <t>Nested IF</t>
  </si>
  <si>
    <t>Stack multiple IFs for tiers.</t>
  </si>
  <si>
    <t>IFS</t>
  </si>
  <si>
    <t>Simplified multiple conditions (Excel 2016+).</t>
  </si>
  <si>
    <t>AND / OR</t>
  </si>
  <si>
    <t>Combine tests.</t>
  </si>
  <si>
    <t>🧩 4️⃣ Text &amp; Cleaning</t>
  </si>
  <si>
    <t>TRIM</t>
  </si>
  <si>
    <t>Removes extra spaces.</t>
  </si>
  <si>
    <t>UPPER / LOWER / PROPER</t>
  </si>
  <si>
    <r>
      <t>=UPPER(text)</t>
    </r>
    <r>
      <rPr>
        <sz val="11"/>
        <color theme="1"/>
        <rFont val="Calibri"/>
        <family val="2"/>
        <scheme val="minor"/>
      </rPr>
      <t xml:space="preserve"> etc.</t>
    </r>
  </si>
  <si>
    <t>Changes case.</t>
  </si>
  <si>
    <r>
      <t>=PROPER("rock hyrax")</t>
    </r>
    <r>
      <rPr>
        <sz val="11"/>
        <color theme="1"/>
        <rFont val="Calibri"/>
        <family val="2"/>
        <scheme val="minor"/>
      </rPr>
      <t xml:space="preserve"> → “Rock Hyrax”</t>
    </r>
  </si>
  <si>
    <t>LEFT / RIGHT / MID</t>
  </si>
  <si>
    <t>Extracts parts of text.</t>
  </si>
  <si>
    <t>CONCAT / &amp;</t>
  </si>
  <si>
    <r>
      <t>=CONCAT(text1,text2)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=A1 &amp; " " &amp; B1</t>
    </r>
  </si>
  <si>
    <t>Joins text pieces.</t>
  </si>
  <si>
    <r>
      <t>"Hyrax " &amp; "Data"</t>
    </r>
    <r>
      <rPr>
        <sz val="11"/>
        <color theme="1"/>
        <rFont val="Calibri"/>
        <family val="2"/>
        <scheme val="minor"/>
      </rPr>
      <t xml:space="preserve"> → “Hyrax Data”</t>
    </r>
  </si>
  <si>
    <t>LEN</t>
  </si>
  <si>
    <t>Counts characters.</t>
  </si>
  <si>
    <t>📊 5️⃣ Statistical &amp; Analytical</t>
  </si>
  <si>
    <t>COUNTIF</t>
  </si>
  <si>
    <t>Counts cells meeting one condition.</t>
  </si>
  <si>
    <t>COUNTIFS</t>
  </si>
  <si>
    <t>=COUNTIFS(range1, criteria1, range2, criteria2, ...)</t>
  </si>
  <si>
    <t>Counts with multiple conditions.</t>
  </si>
  <si>
    <t>AVERAGEIF</t>
  </si>
  <si>
    <t>Averages by one condition.</t>
  </si>
  <si>
    <t>SUMIF / SUMIFS</t>
  </si>
  <si>
    <t>Same logic for sums.</t>
  </si>
  <si>
    <t>IFERROR</t>
  </si>
  <si>
    <t>Avoids #N/A or #DIV/0!.</t>
  </si>
  <si>
    <t>🔍 6️⃣ Lookup &amp; Reference (advanced)</t>
  </si>
  <si>
    <t>XLOOKUP</t>
  </si>
  <si>
    <t>=XLOOKUP(lookup_value, lookup_array, return_array, [if_not_found])</t>
  </si>
  <si>
    <t>Finds value across a table.</t>
  </si>
  <si>
    <t>=XLOOKUP(A2, Zoo_Data[species], Zoo_Data[iucn_status], "Not found")</t>
  </si>
  <si>
    <t>VLOOKUP (old)</t>
  </si>
  <si>
    <t>=VLOOKUP(lookup_value, table_array, col_index, [range_lookup])</t>
  </si>
  <si>
    <t>Same, older syntax.</t>
  </si>
  <si>
    <t>INDEX + MATCH</t>
  </si>
  <si>
    <t>Reliable replacement for VLOOKUP.</t>
  </si>
  <si>
    <t>INDIRECT</t>
  </si>
  <si>
    <t>Turns text into reference.</t>
  </si>
  <si>
    <t>OFFSET</t>
  </si>
  <si>
    <t>Dynamic referencing (advanced).</t>
  </si>
  <si>
    <t>🎨 7️⃣ Helper Columns</t>
  </si>
  <si>
    <r>
      <t xml:space="preserve">Use helper columns to </t>
    </r>
    <r>
      <rPr>
        <b/>
        <sz val="11"/>
        <color theme="1"/>
        <rFont val="Calibri"/>
        <family val="2"/>
        <scheme val="minor"/>
      </rPr>
      <t>break complex formulas</t>
    </r>
    <r>
      <rPr>
        <sz val="11"/>
        <color theme="1"/>
        <rFont val="Calibri"/>
        <family val="2"/>
        <scheme val="minor"/>
      </rPr>
      <t xml:space="preserve"> into readable steps.</t>
    </r>
  </si>
  <si>
    <t>Example:</t>
  </si>
  <si>
    <r>
      <t xml:space="preserve">1️⃣ Column G = risk level via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>.</t>
    </r>
  </si>
  <si>
    <t>2️⃣ Column H = numeric code for risk (1–4).</t>
  </si>
  <si>
    <t>3️⃣ Column I = category logic for dashboard.</t>
  </si>
  <si>
    <t>Benefits: easier to audit and use in COUNTIFs or charts.</t>
  </si>
  <si>
    <t>🧭 8️⃣ Formula Syntax Rules</t>
  </si>
  <si>
    <t>Symbol</t>
  </si>
  <si>
    <t>Meaning</t>
  </si>
  <si>
    <t>=</t>
  </si>
  <si>
    <t>Start formula</t>
  </si>
  <si>
    <t>+ - * / ^</t>
  </si>
  <si>
    <t>Math ops</t>
  </si>
  <si>
    <r>
      <t>=A1*B1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=A1^2</t>
    </r>
  </si>
  <si>
    <t>()</t>
  </si>
  <si>
    <t>Group logic</t>
  </si>
  <si>
    <r>
      <t>,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;</t>
    </r>
  </si>
  <si>
    <t>Separates arguments (depends on regional settings)</t>
  </si>
  <si>
    <t>@</t>
  </si>
  <si>
    <t>Structured reference for current row (inside Table)</t>
  </si>
  <si>
    <t>=[@iucn_status]</t>
  </si>
  <si>
    <t>[]</t>
  </si>
  <si>
    <t>Used in structured references to mark column names</t>
  </si>
  <si>
    <t>=AVERAGE(Zoo_Data[avg_weight_kg])</t>
  </si>
  <si>
    <t>🧾 9️⃣ Formula Writing Workflow (How You Build One)</t>
  </si>
  <si>
    <r>
      <t>1. Identify what you want to calculate</t>
    </r>
    <r>
      <rPr>
        <sz val="11"/>
        <color theme="1"/>
        <rFont val="Calibri"/>
        <family val="2"/>
        <scheme val="minor"/>
      </rPr>
      <t xml:space="preserve"> (e.g., count endangered species).</t>
    </r>
  </si>
  <si>
    <r>
      <t>2. Decide the tool</t>
    </r>
    <r>
      <rPr>
        <sz val="11"/>
        <color theme="1"/>
        <rFont val="Calibri"/>
        <family val="2"/>
        <scheme val="minor"/>
      </rPr>
      <t xml:space="preserve"> (COUNTIF, AVERAGEIF, SUM, etc.).</t>
    </r>
  </si>
  <si>
    <r>
      <t>3. Locate the range</t>
    </r>
    <r>
      <rPr>
        <sz val="11"/>
        <color theme="1"/>
        <rFont val="Calibri"/>
        <family val="2"/>
        <scheme val="minor"/>
      </rPr>
      <t xml:space="preserve"> (which column or table).</t>
    </r>
  </si>
  <si>
    <r>
      <t>4. Add criteria</t>
    </r>
    <r>
      <rPr>
        <sz val="11"/>
        <color theme="1"/>
        <rFont val="Calibri"/>
        <family val="2"/>
        <scheme val="minor"/>
      </rPr>
      <t xml:space="preserve"> (e.g., </t>
    </r>
    <r>
      <rPr>
        <sz val="10"/>
        <color theme="1"/>
        <rFont val="Arial Unicode MS"/>
      </rPr>
      <t>"Endangered"</t>
    </r>
    <r>
      <rPr>
        <sz val="11"/>
        <color theme="1"/>
        <rFont val="Calibri"/>
        <family val="2"/>
        <scheme val="minor"/>
      </rPr>
      <t xml:space="preserve"> or a cell reference).</t>
    </r>
  </si>
  <si>
    <t>5. Press Enter, then copy down or across.</t>
  </si>
  <si>
    <r>
      <t>6. If inside a Table</t>
    </r>
    <r>
      <rPr>
        <sz val="11"/>
        <color theme="1"/>
        <rFont val="Calibri"/>
        <family val="2"/>
        <scheme val="minor"/>
      </rPr>
      <t>, use structured references (</t>
    </r>
    <r>
      <rPr>
        <sz val="10"/>
        <color theme="1"/>
        <rFont val="Arial Unicode MS"/>
      </rPr>
      <t>Zoo_Data[column_name]</t>
    </r>
    <r>
      <rPr>
        <sz val="11"/>
        <color theme="1"/>
        <rFont val="Calibri"/>
        <family val="2"/>
        <scheme val="minor"/>
      </rPr>
      <t>).</t>
    </r>
  </si>
  <si>
    <r>
      <t>7. If in raw cells</t>
    </r>
    <r>
      <rPr>
        <sz val="11"/>
        <color theme="1"/>
        <rFont val="Calibri"/>
        <family val="2"/>
        <scheme val="minor"/>
      </rPr>
      <t>, use ranges (</t>
    </r>
    <r>
      <rPr>
        <sz val="10"/>
        <color theme="1"/>
        <rFont val="Arial Unicode MS"/>
      </rPr>
      <t>F2:F20</t>
    </r>
    <r>
      <rPr>
        <sz val="11"/>
        <color theme="1"/>
        <rFont val="Calibri"/>
        <family val="2"/>
        <scheme val="minor"/>
      </rPr>
      <t>).</t>
    </r>
  </si>
  <si>
    <r>
      <t>8. Test edge cases</t>
    </r>
    <r>
      <rPr>
        <sz val="11"/>
        <color theme="1"/>
        <rFont val="Calibri"/>
        <family val="2"/>
        <scheme val="minor"/>
      </rPr>
      <t xml:space="preserve"> (blank cells, errors, text mismatches).</t>
    </r>
  </si>
  <si>
    <r>
      <t>9. Add IFERROR or ROUND</t>
    </r>
    <r>
      <rPr>
        <sz val="11"/>
        <color theme="1"/>
        <rFont val="Calibri"/>
        <family val="2"/>
        <scheme val="minor"/>
      </rPr>
      <t xml:space="preserve"> for polish.</t>
    </r>
  </si>
  <si>
    <t>🌟 10️⃣ Tips for Writing Clean Formulas</t>
  </si>
  <si>
    <r>
      <t xml:space="preserve">Always include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 xml:space="preserve"> around lookups and divisions.</t>
    </r>
  </si>
  <si>
    <t>Don’t hardcode values if you can reference a cell (more flexible).</t>
  </si>
  <si>
    <t>Use helper columns instead of deeply nested IFs.</t>
  </si>
  <si>
    <t>Keep formulas left-aligned and short (≤100 chars) for readability.</t>
  </si>
  <si>
    <t>Comment formulas (in a note cell beside them) explaining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</si>
</sst>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name val="Calibri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2" fontId="0" fillId="0" borderId="0" xfId="0" applyNumberFormat="1"/>
    <xf numFmtId="1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numFmt numFmtId="1" formatCode="0"/>
    </dxf>
    <dxf>
      <numFmt numFmtId="2" formatCode="0.00"/>
    </dxf>
    <dxf>
      <numFmt numFmtId="2" formatCode="0.00"/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Population by Species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Zoo_Data!$G$1</c:f>
              <c:strCache>
                <c:ptCount val="1"/>
                <c:pt idx="0">
                  <c:v>population_estimate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Zoo_Data!$A$2:$A$11</c:f>
              <c:strCache>
                <c:ptCount val="10"/>
                <c:pt idx="0">
                  <c:v>rock_hyrax</c:v>
                </c:pt>
                <c:pt idx="1">
                  <c:v>bush_hyrax</c:v>
                </c:pt>
                <c:pt idx="2">
                  <c:v>tree_hyrax</c:v>
                </c:pt>
                <c:pt idx="3">
                  <c:v>meerkat</c:v>
                </c:pt>
                <c:pt idx="4">
                  <c:v>african_elephant</c:v>
                </c:pt>
                <c:pt idx="5">
                  <c:v>rock_rabbit</c:v>
                </c:pt>
                <c:pt idx="6">
                  <c:v>yellow_mongoose</c:v>
                </c:pt>
                <c:pt idx="7">
                  <c:v>elephant_shrew</c:v>
                </c:pt>
                <c:pt idx="8">
                  <c:v>cape_hyrax</c:v>
                </c:pt>
                <c:pt idx="9">
                  <c:v>desert_meerkat</c:v>
                </c:pt>
              </c:strCache>
            </c:strRef>
          </c:cat>
          <c:val>
            <c:numRef>
              <c:f>Zoo_Data!$G$2:$G$11</c:f>
              <c:numCache>
                <c:formatCode>0</c:formatCode>
                <c:ptCount val="10"/>
                <c:pt idx="0">
                  <c:v>0</c:v>
                </c:pt>
                <c:pt idx="1">
                  <c:v>12000</c:v>
                </c:pt>
                <c:pt idx="2">
                  <c:v>5000</c:v>
                </c:pt>
                <c:pt idx="3">
                  <c:v>25000</c:v>
                </c:pt>
                <c:pt idx="4">
                  <c:v>415000</c:v>
                </c:pt>
                <c:pt idx="5">
                  <c:v>8000</c:v>
                </c:pt>
                <c:pt idx="6">
                  <c:v>400000</c:v>
                </c:pt>
                <c:pt idx="7">
                  <c:v>30000</c:v>
                </c:pt>
                <c:pt idx="8">
                  <c:v>60000</c:v>
                </c:pt>
                <c:pt idx="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0-4CCB-8734-BC1BDA9D9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Population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Avg Weight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Zoo_Dashboard!$B$9</c:f>
              <c:strCache>
                <c:ptCount val="1"/>
                <c:pt idx="0">
                  <c:v>Avg Weight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Zoo_Dashboard!$A$10:$A$15</c:f>
              <c:strCache>
                <c:ptCount val="6"/>
                <c:pt idx="0">
                  <c:v>Elephant</c:v>
                </c:pt>
                <c:pt idx="1">
                  <c:v>Elephant Shrew</c:v>
                </c:pt>
                <c:pt idx="2">
                  <c:v>Hyrax</c:v>
                </c:pt>
                <c:pt idx="3">
                  <c:v>Meerkat</c:v>
                </c:pt>
                <c:pt idx="4">
                  <c:v>Mongoose</c:v>
                </c:pt>
                <c:pt idx="5">
                  <c:v>Rock Rabbit</c:v>
                </c:pt>
              </c:strCache>
            </c:strRef>
          </c:cat>
          <c:val>
            <c:numRef>
              <c:f>Zoo_Dashboard!$B$10:$B$15</c:f>
              <c:numCache>
                <c:formatCode>General</c:formatCode>
                <c:ptCount val="6"/>
                <c:pt idx="0">
                  <c:v>5400</c:v>
                </c:pt>
                <c:pt idx="1">
                  <c:v>0.5</c:v>
                </c:pt>
                <c:pt idx="2">
                  <c:v>3.5333333333333332</c:v>
                </c:pt>
                <c:pt idx="3">
                  <c:v>0.95</c:v>
                </c:pt>
                <c:pt idx="4">
                  <c:v>0.8</c:v>
                </c:pt>
                <c:pt idx="5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6-4F15-95B1-320B8F67C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IUCN Status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Zoo_Dashboard!$B$30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Zoo_Dashboard!$A$31:$A$35</c:f>
              <c:strCache>
                <c:ptCount val="5"/>
                <c:pt idx="0">
                  <c:v>Least Concern</c:v>
                </c:pt>
                <c:pt idx="1">
                  <c:v>Near Threatened</c:v>
                </c:pt>
                <c:pt idx="2">
                  <c:v>Vulnerable</c:v>
                </c:pt>
                <c:pt idx="3">
                  <c:v>Endangered</c:v>
                </c:pt>
                <c:pt idx="4">
                  <c:v>Critically Endangered</c:v>
                </c:pt>
              </c:strCache>
            </c:strRef>
          </c:cat>
          <c:val>
            <c:numRef>
              <c:f>Zoo_Dashboard!$B$31:$B$35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9-4356-A18A-F46C50D7B9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35</xdr:row>
      <xdr:rowOff>0</xdr:rowOff>
    </xdr:from>
    <xdr:ext cx="576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o_Data" displayName="Zoo_Data" ref="A2:H12" totalsRowShown="0" tableBorderDxfId="7">
  <autoFilter ref="A2:H12" xr:uid="{00000000-0009-0000-0100-000001000000}"/>
  <tableColumns count="8">
    <tableColumn id="1" xr3:uid="{00000000-0010-0000-0000-000001000000}" name="rock_hyrax"/>
    <tableColumn id="2" xr3:uid="{00000000-0010-0000-0000-000002000000}" name="4.50" dataDxfId="6"/>
    <tableColumn id="3" xr3:uid="{00000000-0010-0000-0000-000003000000}" name="55.00" dataDxfId="5"/>
    <tableColumn id="4" xr3:uid="{00000000-0010-0000-0000-000004000000}" name="Herbivore"/>
    <tableColumn id="5" xr3:uid="{00000000-0010-0000-0000-000005000000}" name="rocky"/>
    <tableColumn id="6" xr3:uid="{00000000-0010-0000-0000-000006000000}" name="Least Concern"/>
    <tableColumn id="7" xr3:uid="{00000000-0010-0000-0000-000007000000}" name="50000" dataDxfId="4"/>
    <tableColumn id="8" xr3:uid="{00000000-0010-0000-0000-000008000000}" name="Hyra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pane ySplit="1" topLeftCell="A2" activePane="bottomLeft" state="frozen"/>
      <selection pane="bottomLeft" activeCell="G13" sqref="G13"/>
    </sheetView>
  </sheetViews>
  <sheetFormatPr defaultRowHeight="14.4"/>
  <cols>
    <col min="1" max="1" width="22.6640625" customWidth="1"/>
    <col min="2" max="3" width="16.6640625" customWidth="1"/>
    <col min="4" max="5" width="18.6640625" customWidth="1"/>
    <col min="6" max="6" width="37.33203125" customWidth="1"/>
    <col min="7" max="8" width="18.664062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t="s">
        <v>8</v>
      </c>
      <c r="B2" s="2" t="s">
        <v>9</v>
      </c>
      <c r="C2" s="2" t="s">
        <v>10</v>
      </c>
      <c r="D2" t="s">
        <v>11</v>
      </c>
      <c r="E2" t="s">
        <v>12</v>
      </c>
      <c r="F2" t="s">
        <v>13</v>
      </c>
      <c r="G2" s="3" t="s">
        <v>14</v>
      </c>
      <c r="H2" t="s">
        <v>15</v>
      </c>
    </row>
    <row r="3" spans="1:8">
      <c r="A3" t="s">
        <v>16</v>
      </c>
      <c r="B3" s="2">
        <v>3.8</v>
      </c>
      <c r="C3" s="2">
        <v>45</v>
      </c>
      <c r="D3" t="s">
        <v>11</v>
      </c>
      <c r="E3" t="s">
        <v>17</v>
      </c>
      <c r="F3" t="s">
        <v>18</v>
      </c>
      <c r="G3" s="3">
        <v>12000</v>
      </c>
      <c r="H3" t="s">
        <v>15</v>
      </c>
    </row>
    <row r="4" spans="1:8">
      <c r="A4" t="s">
        <v>19</v>
      </c>
      <c r="B4" s="2">
        <v>2.9</v>
      </c>
      <c r="C4" s="2">
        <v>42</v>
      </c>
      <c r="D4" t="s">
        <v>11</v>
      </c>
      <c r="E4" t="s">
        <v>20</v>
      </c>
      <c r="F4" t="s">
        <v>21</v>
      </c>
      <c r="G4" s="3">
        <v>5000</v>
      </c>
      <c r="H4" t="s">
        <v>15</v>
      </c>
    </row>
    <row r="5" spans="1:8">
      <c r="A5" t="s">
        <v>22</v>
      </c>
      <c r="B5" s="2">
        <v>1</v>
      </c>
      <c r="C5" s="2">
        <v>25</v>
      </c>
      <c r="D5" t="s">
        <v>23</v>
      </c>
      <c r="E5" t="s">
        <v>17</v>
      </c>
      <c r="F5" t="s">
        <v>13</v>
      </c>
      <c r="G5" s="3">
        <v>25000</v>
      </c>
      <c r="H5" t="s">
        <v>24</v>
      </c>
    </row>
    <row r="6" spans="1:8">
      <c r="A6" t="s">
        <v>25</v>
      </c>
      <c r="B6" s="2">
        <v>5400</v>
      </c>
      <c r="C6" s="2">
        <v>700</v>
      </c>
      <c r="D6" t="s">
        <v>11</v>
      </c>
      <c r="E6" t="s">
        <v>17</v>
      </c>
      <c r="F6" t="s">
        <v>26</v>
      </c>
      <c r="G6" s="3">
        <v>415000</v>
      </c>
      <c r="H6" t="s">
        <v>27</v>
      </c>
    </row>
    <row r="7" spans="1:8">
      <c r="A7" t="s">
        <v>28</v>
      </c>
      <c r="B7" s="2">
        <v>2.2999999999999998</v>
      </c>
      <c r="C7" s="2">
        <v>40</v>
      </c>
      <c r="D7" t="s">
        <v>11</v>
      </c>
      <c r="E7" t="s">
        <v>12</v>
      </c>
      <c r="F7" t="s">
        <v>13</v>
      </c>
      <c r="G7" s="3">
        <v>8000</v>
      </c>
      <c r="H7" t="s">
        <v>29</v>
      </c>
    </row>
    <row r="8" spans="1:8">
      <c r="A8" t="s">
        <v>30</v>
      </c>
      <c r="B8" s="2">
        <v>0.8</v>
      </c>
      <c r="C8" s="2">
        <v>28</v>
      </c>
      <c r="D8" t="s">
        <v>23</v>
      </c>
      <c r="E8" t="s">
        <v>31</v>
      </c>
      <c r="F8" t="s">
        <v>13</v>
      </c>
      <c r="G8" s="3">
        <v>400000</v>
      </c>
      <c r="H8" t="s">
        <v>32</v>
      </c>
    </row>
    <row r="9" spans="1:8">
      <c r="A9" t="s">
        <v>33</v>
      </c>
      <c r="B9" s="2">
        <v>0.5</v>
      </c>
      <c r="C9" s="2">
        <v>20</v>
      </c>
      <c r="D9" t="s">
        <v>23</v>
      </c>
      <c r="E9" t="s">
        <v>20</v>
      </c>
      <c r="F9" t="s">
        <v>18</v>
      </c>
      <c r="G9" s="3">
        <v>30000</v>
      </c>
      <c r="H9" t="s">
        <v>34</v>
      </c>
    </row>
    <row r="10" spans="1:8">
      <c r="A10" t="s">
        <v>35</v>
      </c>
      <c r="B10" s="2">
        <v>3.9</v>
      </c>
      <c r="C10" s="2">
        <v>47</v>
      </c>
      <c r="D10" t="s">
        <v>11</v>
      </c>
      <c r="E10" t="s">
        <v>12</v>
      </c>
      <c r="F10" t="s">
        <v>13</v>
      </c>
      <c r="G10" s="3">
        <v>60000</v>
      </c>
      <c r="H10" t="s">
        <v>15</v>
      </c>
    </row>
    <row r="11" spans="1:8">
      <c r="A11" t="s">
        <v>36</v>
      </c>
      <c r="B11" s="2">
        <v>0.9</v>
      </c>
      <c r="C11" s="2">
        <v>23</v>
      </c>
      <c r="D11" t="s">
        <v>23</v>
      </c>
      <c r="E11" t="s">
        <v>37</v>
      </c>
      <c r="F11" t="s">
        <v>21</v>
      </c>
      <c r="G11" s="3">
        <v>15000</v>
      </c>
      <c r="H11" t="s">
        <v>24</v>
      </c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</sheetData>
  <conditionalFormatting sqref="F2:F1000">
    <cfRule type="expression" dxfId="3" priority="1">
      <formula>EXACT(F2,"Endangered")</formula>
    </cfRule>
    <cfRule type="expression" dxfId="2" priority="2">
      <formula>EXACT(F2,"Vulnerable")</formula>
    </cfRule>
    <cfRule type="expression" dxfId="1" priority="3">
      <formula>EXACT(F2,"Near Threatened")</formula>
    </cfRule>
    <cfRule type="expression" dxfId="0" priority="4">
      <formula>EXACT(F2,"Least Concern")</formula>
    </cfRule>
  </conditionalFormatting>
  <dataValidations count="8">
    <dataValidation type="list" allowBlank="1" showInputMessage="1" showErrorMessage="1" sqref="D1:D1048576" xr:uid="{00000000-0002-0000-0100-000000000000}">
      <formula1>Diet_List</formula1>
    </dataValidation>
    <dataValidation type="list" allowBlank="1" showInputMessage="1" showErrorMessage="1" sqref="E1:E1048576" xr:uid="{00000000-0002-0000-0100-000001000000}">
      <formula1>Habitat_List</formula1>
    </dataValidation>
    <dataValidation type="list" allowBlank="1" showInputMessage="1" showErrorMessage="1" sqref="F1:F1048576" xr:uid="{00000000-0002-0000-0100-000002000000}">
      <formula1>"IUCN_List"</formula1>
    </dataValidation>
    <dataValidation type="list" allowBlank="1" showInputMessage="1" showErrorMessage="1" sqref="H1:H1048576" xr:uid="{00000000-0002-0000-0100-000003000000}">
      <formula1>Category_List</formula1>
    </dataValidation>
    <dataValidation type="list" allowBlank="1" showDropDown="1" showInputMessage="1" showErrorMessage="1" sqref="D2:D1000" xr:uid="{00000000-0002-0000-0100-000004000000}">
      <formula1>"Herbivore,Omnivore,Carnivore"</formula1>
    </dataValidation>
    <dataValidation type="list" allowBlank="1" showDropDown="1" showInputMessage="1" showErrorMessage="1" sqref="E2:E1000" xr:uid="{00000000-0002-0000-0100-000005000000}">
      <formula1>"rocky,forest,savanna,desert,grassland"</formula1>
    </dataValidation>
    <dataValidation type="list" allowBlank="1" showDropDown="1" showInputMessage="1" showErrorMessage="1" sqref="F2:F1000" xr:uid="{00000000-0002-0000-0100-000006000000}">
      <formula1>"Least Concern,Near Threatened,Vulnerable,Endangered,Critically Endangered"</formula1>
    </dataValidation>
    <dataValidation type="list" allowBlank="1" showDropDown="1" showInputMessage="1" showErrorMessage="1" sqref="H2:H1000" xr:uid="{00000000-0002-0000-0100-000007000000}">
      <formula1>"Hyrax,Meerkat,Elephant,Rock Rabbit,Mongoose,Elephant Shrew"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3EFA-7707-4EB8-9100-E8A10FA1626C}">
  <dimension ref="A1:A2"/>
  <sheetViews>
    <sheetView workbookViewId="0">
      <selection activeCell="A2" sqref="A2"/>
    </sheetView>
  </sheetViews>
  <sheetFormatPr defaultRowHeight="14.4"/>
  <sheetData>
    <row r="1" spans="1:1">
      <c r="A1" t="s">
        <v>49</v>
      </c>
    </row>
    <row r="2" spans="1:1">
      <c r="A2">
        <f>IF(Zoo_Data!F2="Endangered","High",)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>
      <selection activeCell="B4" sqref="B4"/>
    </sheetView>
  </sheetViews>
  <sheetFormatPr defaultRowHeight="14.4"/>
  <sheetData>
    <row r="1" spans="1:2" ht="18" customHeight="1">
      <c r="A1" s="9" t="s">
        <v>40</v>
      </c>
    </row>
    <row r="3" spans="1:2">
      <c r="A3" t="s">
        <v>41</v>
      </c>
      <c r="B3">
        <f>COUNTA(Zoo_Data!$A$2:$A$11)</f>
        <v>10</v>
      </c>
    </row>
    <row r="4" spans="1:2">
      <c r="A4" t="s">
        <v>42</v>
      </c>
      <c r="B4">
        <f>ROUND(AVERAGE(Zoo_Data!$B$2:$B$11),2)</f>
        <v>601.79</v>
      </c>
    </row>
    <row r="5" spans="1:2">
      <c r="A5" t="s">
        <v>43</v>
      </c>
      <c r="B5">
        <f>ROUND(AVERAGE(Zoo_Data!$G$2:$G$11),0)</f>
        <v>107778</v>
      </c>
    </row>
    <row r="6" spans="1:2">
      <c r="A6" t="s">
        <v>44</v>
      </c>
      <c r="B6">
        <f>COUNTIF(Zoo_Data!$F$2:$F$11,"Endangered")</f>
        <v>1</v>
      </c>
    </row>
    <row r="9" spans="1:2">
      <c r="A9" t="s">
        <v>39</v>
      </c>
      <c r="B9" t="s">
        <v>45</v>
      </c>
    </row>
    <row r="10" spans="1:2">
      <c r="A10" t="s">
        <v>27</v>
      </c>
      <c r="B10">
        <f>AVERAGEIF(Zoo_Data!$H$2:$H$11,"Elephant",Zoo_Data!$B$2:$B$11)</f>
        <v>5400</v>
      </c>
    </row>
    <row r="11" spans="1:2">
      <c r="A11" t="s">
        <v>34</v>
      </c>
      <c r="B11">
        <f>AVERAGEIF(Zoo_Data!$H$2:$H$11,"Elephant Shrew",Zoo_Data!$B$2:$B$11)</f>
        <v>0.5</v>
      </c>
    </row>
    <row r="12" spans="1:2">
      <c r="A12" t="s">
        <v>15</v>
      </c>
      <c r="B12">
        <f>AVERAGEIF(Zoo_Data!$H$2:$H$11,"Hyrax",Zoo_Data!$B$2:$B$11)</f>
        <v>3.5333333333333332</v>
      </c>
    </row>
    <row r="13" spans="1:2">
      <c r="A13" t="s">
        <v>24</v>
      </c>
      <c r="B13">
        <f>AVERAGEIF(Zoo_Data!$H$2:$H$11,"Meerkat",Zoo_Data!$B$2:$B$11)</f>
        <v>0.95</v>
      </c>
    </row>
    <row r="14" spans="1:2">
      <c r="A14" t="s">
        <v>32</v>
      </c>
      <c r="B14">
        <f>AVERAGEIF(Zoo_Data!$H$2:$H$11,"Mongoose",Zoo_Data!$B$2:$B$11)</f>
        <v>0.8</v>
      </c>
    </row>
    <row r="15" spans="1:2">
      <c r="A15" t="s">
        <v>29</v>
      </c>
      <c r="B15">
        <f>AVERAGEIF(Zoo_Data!$H$2:$H$11,"Rock Rabbit",Zoo_Data!$B$2:$B$11)</f>
        <v>2.2999999999999998</v>
      </c>
    </row>
    <row r="30" spans="1:2">
      <c r="A30" t="s">
        <v>46</v>
      </c>
      <c r="B30" t="s">
        <v>47</v>
      </c>
    </row>
    <row r="31" spans="1:2">
      <c r="A31" t="s">
        <v>13</v>
      </c>
      <c r="B31">
        <f>COUNTIF(Zoo_Data!$F$2:$F$11,"Least Concern")</f>
        <v>5</v>
      </c>
    </row>
    <row r="32" spans="1:2">
      <c r="A32" t="s">
        <v>18</v>
      </c>
      <c r="B32">
        <f>COUNTIF(Zoo_Data!$F$2:$F$11,"Near Threatened")</f>
        <v>2</v>
      </c>
    </row>
    <row r="33" spans="1:2">
      <c r="A33" t="s">
        <v>21</v>
      </c>
      <c r="B33">
        <f>COUNTIF(Zoo_Data!$F$2:$F$11,"Vulnerable")</f>
        <v>2</v>
      </c>
    </row>
    <row r="34" spans="1:2">
      <c r="A34" t="s">
        <v>26</v>
      </c>
      <c r="B34">
        <f>COUNTIF(Zoo_Data!$F$2:$F$11,"Endangered")</f>
        <v>1</v>
      </c>
    </row>
    <row r="35" spans="1:2">
      <c r="A35" t="s">
        <v>48</v>
      </c>
      <c r="B35">
        <f>COUNTIF(Zoo_Data!$F$2:$F$11,"Critically Endangered")</f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ED0F-249A-4F84-B312-AE335D214BE7}">
  <dimension ref="A1:E205"/>
  <sheetViews>
    <sheetView tabSelected="1" topLeftCell="A59" workbookViewId="0">
      <selection activeCell="I86" sqref="I86"/>
    </sheetView>
  </sheetViews>
  <sheetFormatPr defaultRowHeight="14.4"/>
  <sheetData>
    <row r="1" spans="1:1" ht="23.4">
      <c r="A1" s="10" t="s">
        <v>50</v>
      </c>
    </row>
    <row r="3" spans="1:1">
      <c r="A3" t="s">
        <v>51</v>
      </c>
    </row>
    <row r="4" spans="1:1">
      <c r="A4" s="11"/>
    </row>
    <row r="5" spans="1:1">
      <c r="A5" s="11" t="s">
        <v>52</v>
      </c>
    </row>
    <row r="6" spans="1:1">
      <c r="A6" s="11"/>
    </row>
    <row r="7" spans="1:1">
      <c r="A7" s="11" t="s">
        <v>53</v>
      </c>
    </row>
    <row r="9" spans="1:1">
      <c r="A9" t="s">
        <v>54</v>
      </c>
    </row>
    <row r="10" spans="1:1">
      <c r="A10" s="12"/>
    </row>
    <row r="11" spans="1:1">
      <c r="A11" s="13">
        <f>COUNTIF(Zoo_Data!F2:F11,"Near Threatened")</f>
        <v>2</v>
      </c>
    </row>
    <row r="13" spans="1:1">
      <c r="A13" t="s">
        <v>55</v>
      </c>
    </row>
    <row r="14" spans="1:1">
      <c r="A14" s="11"/>
    </row>
    <row r="15" spans="1:1">
      <c r="A15" s="11" t="s">
        <v>56</v>
      </c>
    </row>
    <row r="17" spans="1:1">
      <c r="A17" t="s">
        <v>57</v>
      </c>
    </row>
    <row r="18" spans="1:1">
      <c r="A18" s="12"/>
    </row>
    <row r="19" spans="1:1">
      <c r="A19" s="13">
        <f>COUNTIF(Zoo_Data!F2:F11, A2)</f>
        <v>0</v>
      </c>
    </row>
    <row r="21" spans="1:1">
      <c r="A21" t="s">
        <v>58</v>
      </c>
    </row>
    <row r="22" spans="1:1">
      <c r="A22" s="11"/>
    </row>
    <row r="23" spans="1:1">
      <c r="A23" s="14" t="s">
        <v>59</v>
      </c>
    </row>
    <row r="24" spans="1:1">
      <c r="A24" s="11"/>
    </row>
    <row r="25" spans="1:1">
      <c r="A25" s="14" t="s">
        <v>60</v>
      </c>
    </row>
    <row r="29" spans="1:1" ht="23.4">
      <c r="A29" s="10" t="s">
        <v>61</v>
      </c>
    </row>
    <row r="31" spans="1:1">
      <c r="A31" t="s">
        <v>62</v>
      </c>
    </row>
    <row r="32" spans="1:1">
      <c r="A32" t="s">
        <v>63</v>
      </c>
    </row>
    <row r="33" spans="1:3">
      <c r="A33" t="s">
        <v>64</v>
      </c>
    </row>
    <row r="34" spans="1:3">
      <c r="A34" t="s">
        <v>65</v>
      </c>
    </row>
    <row r="36" spans="1:3" ht="18">
      <c r="A36" s="15" t="s">
        <v>66</v>
      </c>
    </row>
    <row r="38" spans="1:3" ht="15.6">
      <c r="A38" s="16" t="s">
        <v>67</v>
      </c>
    </row>
    <row r="40" spans="1:3">
      <c r="A40" t="s">
        <v>68</v>
      </c>
    </row>
    <row r="42" spans="1:3" ht="15.6">
      <c r="A42" s="16" t="s">
        <v>69</v>
      </c>
    </row>
    <row r="44" spans="1:3">
      <c r="A44" t="s">
        <v>70</v>
      </c>
    </row>
    <row r="46" spans="1:3">
      <c r="A46" s="6" t="s">
        <v>71</v>
      </c>
      <c r="B46" s="6" t="s">
        <v>38</v>
      </c>
      <c r="C46" s="6" t="s">
        <v>72</v>
      </c>
    </row>
    <row r="47" spans="1:3" ht="79.2">
      <c r="A47" s="7" t="s">
        <v>73</v>
      </c>
      <c r="B47" s="8" t="s">
        <v>74</v>
      </c>
      <c r="C47" s="7" t="s">
        <v>75</v>
      </c>
    </row>
    <row r="48" spans="1:3" ht="105.6">
      <c r="A48" s="7" t="s">
        <v>76</v>
      </c>
      <c r="B48" s="8" t="s">
        <v>77</v>
      </c>
      <c r="C48" s="7" t="s">
        <v>78</v>
      </c>
    </row>
    <row r="50" spans="1:1" ht="15.6">
      <c r="A50" s="16" t="s">
        <v>79</v>
      </c>
    </row>
    <row r="51" spans="1:1">
      <c r="A51" s="11"/>
    </row>
    <row r="52" spans="1:1">
      <c r="A52" s="11" t="s">
        <v>80</v>
      </c>
    </row>
    <row r="53" spans="1:1">
      <c r="A53" s="11"/>
    </row>
    <row r="54" spans="1:1">
      <c r="A54" s="11" t="s">
        <v>81</v>
      </c>
    </row>
    <row r="55" spans="1:1">
      <c r="A55" s="11"/>
    </row>
    <row r="56" spans="1:1">
      <c r="A56" s="11" t="s">
        <v>82</v>
      </c>
    </row>
    <row r="58" spans="1:1" ht="15.6">
      <c r="A58" s="16" t="s">
        <v>83</v>
      </c>
    </row>
    <row r="60" spans="1:1">
      <c r="A60" t="s">
        <v>84</v>
      </c>
    </row>
    <row r="61" spans="1:1">
      <c r="A61" s="11"/>
    </row>
    <row r="62" spans="1:1">
      <c r="A62" s="17" t="s">
        <v>85</v>
      </c>
    </row>
    <row r="63" spans="1:1">
      <c r="A63" s="11"/>
    </row>
    <row r="64" spans="1:1">
      <c r="A64" s="17" t="s">
        <v>86</v>
      </c>
    </row>
    <row r="66" spans="1:1" ht="15.6">
      <c r="A66" s="16" t="s">
        <v>87</v>
      </c>
    </row>
    <row r="67" spans="1:1">
      <c r="A67" s="11"/>
    </row>
    <row r="68" spans="1:1">
      <c r="A68" s="11" t="s">
        <v>88</v>
      </c>
    </row>
    <row r="69" spans="1:1">
      <c r="A69" s="11"/>
    </row>
    <row r="70" spans="1:1">
      <c r="A70" s="11" t="s">
        <v>89</v>
      </c>
    </row>
    <row r="71" spans="1:1">
      <c r="A71" s="11"/>
    </row>
    <row r="72" spans="1:1">
      <c r="A72" s="11" t="s">
        <v>90</v>
      </c>
    </row>
    <row r="76" spans="1:1">
      <c r="A76" t="s">
        <v>91</v>
      </c>
    </row>
    <row r="77" spans="1:1">
      <c r="A77" t="s">
        <v>92</v>
      </c>
    </row>
    <row r="78" spans="1:1">
      <c r="A78" s="11"/>
    </row>
    <row r="79" spans="1:1">
      <c r="A79" s="11" t="s">
        <v>93</v>
      </c>
    </row>
    <row r="80" spans="1:1">
      <c r="A80" s="11"/>
    </row>
    <row r="81" spans="1:5">
      <c r="A81" s="11" t="s">
        <v>94</v>
      </c>
    </row>
    <row r="82" spans="1:5">
      <c r="A82" s="11"/>
    </row>
    <row r="83" spans="1:5">
      <c r="A83" s="11" t="s">
        <v>95</v>
      </c>
    </row>
    <row r="84" spans="1:5">
      <c r="A84" s="11"/>
    </row>
    <row r="85" spans="1:5">
      <c r="A85" s="11" t="s">
        <v>96</v>
      </c>
    </row>
    <row r="90" spans="1:5" ht="23.4">
      <c r="B90" s="10" t="s">
        <v>97</v>
      </c>
    </row>
    <row r="92" spans="1:5" ht="18">
      <c r="B92" s="15" t="s">
        <v>98</v>
      </c>
    </row>
    <row r="94" spans="1:5" ht="28.8">
      <c r="B94" s="6" t="s">
        <v>99</v>
      </c>
      <c r="C94" s="6" t="s">
        <v>100</v>
      </c>
      <c r="D94" s="6" t="s">
        <v>101</v>
      </c>
      <c r="E94" s="6" t="s">
        <v>102</v>
      </c>
    </row>
    <row r="95" spans="1:5" ht="187.2">
      <c r="B95" s="18" t="s">
        <v>103</v>
      </c>
      <c r="C95" s="7" t="s">
        <v>104</v>
      </c>
      <c r="D95" s="8" t="e" cm="1">
        <f t="array" ref="D95">expression</f>
        <v>#NAME?</v>
      </c>
      <c r="E95" s="8" t="e">
        <f>A1+B1</f>
        <v>#VALUE!</v>
      </c>
    </row>
    <row r="96" spans="1:5" ht="201.6">
      <c r="B96" s="18" t="s">
        <v>105</v>
      </c>
      <c r="C96" s="7" t="s">
        <v>106</v>
      </c>
      <c r="D96" s="8" t="s">
        <v>107</v>
      </c>
      <c r="E96" s="8" t="s">
        <v>108</v>
      </c>
    </row>
    <row r="97" spans="2:5" ht="158.4">
      <c r="B97" s="18" t="s">
        <v>109</v>
      </c>
      <c r="C97" s="7" t="s">
        <v>110</v>
      </c>
      <c r="D97" s="8" t="s">
        <v>111</v>
      </c>
      <c r="E97" s="7" t="s">
        <v>112</v>
      </c>
    </row>
    <row r="98" spans="2:5" ht="132">
      <c r="B98" s="18" t="s">
        <v>113</v>
      </c>
      <c r="C98" s="7" t="s">
        <v>114</v>
      </c>
      <c r="D98" s="8" t="s">
        <v>115</v>
      </c>
      <c r="E98" s="8" t="str">
        <f>"Hello " &amp; A1</f>
        <v>Hello 🧩 1️⃣ Why We “Stringify” (use quotes like "Near Threatened")</v>
      </c>
    </row>
    <row r="101" spans="2:5" ht="18">
      <c r="B101" s="15" t="s">
        <v>116</v>
      </c>
    </row>
    <row r="103" spans="2:5" ht="28.8">
      <c r="B103" s="6" t="s">
        <v>117</v>
      </c>
      <c r="C103" s="6" t="s">
        <v>101</v>
      </c>
      <c r="D103" s="6" t="s">
        <v>118</v>
      </c>
      <c r="E103" s="6" t="s">
        <v>102</v>
      </c>
    </row>
    <row r="104" spans="2:5" ht="28.8">
      <c r="B104" s="18" t="s">
        <v>119</v>
      </c>
      <c r="C104" s="8" t="e">
        <f>SUM(range)</f>
        <v>#NAME?</v>
      </c>
      <c r="D104" s="7" t="s">
        <v>120</v>
      </c>
      <c r="E104" s="8">
        <f>SUM(B2:B10)</f>
        <v>0</v>
      </c>
    </row>
    <row r="105" spans="2:5" ht="43.2">
      <c r="B105" s="18" t="s">
        <v>121</v>
      </c>
      <c r="C105" s="8" t="e">
        <f>AVERAGE(range)</f>
        <v>#NAME?</v>
      </c>
      <c r="D105" s="7" t="s">
        <v>122</v>
      </c>
      <c r="E105" s="8" t="e">
        <f>AVERAGE(C2:C10)</f>
        <v>#DIV/0!</v>
      </c>
    </row>
    <row r="106" spans="2:5" ht="57.6">
      <c r="B106" s="18" t="s">
        <v>123</v>
      </c>
      <c r="C106" s="8" t="s">
        <v>124</v>
      </c>
      <c r="D106" s="7" t="s">
        <v>125</v>
      </c>
      <c r="E106" s="8">
        <f>MAX(E2:E20)</f>
        <v>0</v>
      </c>
    </row>
    <row r="107" spans="2:5" ht="72">
      <c r="B107" s="18" t="s">
        <v>126</v>
      </c>
      <c r="C107" s="8" t="e" cm="1">
        <f t="array" ref="C107">ROUND(number, num_digits)</f>
        <v>#NAME?</v>
      </c>
      <c r="D107" s="7" t="s">
        <v>127</v>
      </c>
      <c r="E107" s="8" t="s">
        <v>128</v>
      </c>
    </row>
    <row r="108" spans="2:5" ht="129.6">
      <c r="B108" s="18" t="s">
        <v>129</v>
      </c>
      <c r="C108" s="8" t="s">
        <v>130</v>
      </c>
      <c r="D108" s="7" t="s">
        <v>131</v>
      </c>
      <c r="E108" s="8">
        <f>COUNT(B2:B10)</f>
        <v>0</v>
      </c>
    </row>
    <row r="111" spans="2:5" ht="18">
      <c r="B111" s="15" t="s">
        <v>132</v>
      </c>
    </row>
    <row r="113" spans="2:5" ht="28.8">
      <c r="B113" s="6" t="s">
        <v>117</v>
      </c>
      <c r="C113" s="6" t="s">
        <v>101</v>
      </c>
      <c r="D113" s="6" t="s">
        <v>118</v>
      </c>
      <c r="E113" s="6" t="s">
        <v>102</v>
      </c>
    </row>
    <row r="114" spans="2:5" ht="43.2">
      <c r="B114" s="18" t="s">
        <v>133</v>
      </c>
      <c r="C114" s="8" t="e" cm="1">
        <f t="array" ref="C114">IF(logical_test, value_if_true, value_if_false)</f>
        <v>#NAME?</v>
      </c>
      <c r="D114" s="7" t="s">
        <v>134</v>
      </c>
      <c r="E114" s="8" t="str">
        <f>IF(B2&gt;50,"Pass","Fail")</f>
        <v>Fail</v>
      </c>
    </row>
    <row r="115" spans="2:5" ht="57.6">
      <c r="B115" s="18" t="s">
        <v>135</v>
      </c>
      <c r="C115" s="7" t="s">
        <v>136</v>
      </c>
      <c r="D115" s="8" t="str">
        <f>IF(B2&gt;80,"High",IF(B2&gt;50,"Medium","Low"))</f>
        <v>Low</v>
      </c>
      <c r="E115" s="7"/>
    </row>
    <row r="116" spans="2:5" ht="72">
      <c r="B116" s="18" t="s">
        <v>137</v>
      </c>
      <c r="C116" s="7" t="s">
        <v>138</v>
      </c>
      <c r="D116" s="8" t="str" cm="1">
        <f t="array" ref="D116">_xlfn.IFS(B2&gt;80,"High",B2&gt;50,"Medium",TRUE,"Low")</f>
        <v>Low</v>
      </c>
      <c r="E116" s="7"/>
    </row>
    <row r="117" spans="2:5" ht="28.8">
      <c r="B117" s="18" t="s">
        <v>139</v>
      </c>
      <c r="C117" s="7" t="s">
        <v>140</v>
      </c>
      <c r="D117" s="8" t="str">
        <f>IF(AND(B2&gt;50,C2&lt;10),"OK","Check")</f>
        <v>Check</v>
      </c>
      <c r="E117" s="7"/>
    </row>
    <row r="120" spans="2:5" ht="18">
      <c r="B120" s="15" t="s">
        <v>141</v>
      </c>
    </row>
    <row r="122" spans="2:5" ht="28.8">
      <c r="B122" s="6" t="s">
        <v>117</v>
      </c>
      <c r="C122" s="6" t="s">
        <v>101</v>
      </c>
      <c r="D122" s="6" t="s">
        <v>118</v>
      </c>
      <c r="E122" s="6" t="s">
        <v>102</v>
      </c>
    </row>
    <row r="123" spans="2:5" ht="43.2">
      <c r="B123" s="18" t="s">
        <v>142</v>
      </c>
      <c r="C123" s="8" t="e">
        <f>TRIM(_xleta.TEXT)</f>
        <v>#VALUE!</v>
      </c>
      <c r="D123" s="7" t="s">
        <v>143</v>
      </c>
      <c r="E123" s="8" t="str">
        <f>TRIM(A2)</f>
        <v/>
      </c>
    </row>
    <row r="124" spans="2:5" ht="69.599999999999994">
      <c r="B124" s="18" t="s">
        <v>144</v>
      </c>
      <c r="C124" s="8" t="s">
        <v>145</v>
      </c>
      <c r="D124" s="7" t="s">
        <v>146</v>
      </c>
      <c r="E124" s="8" t="s">
        <v>147</v>
      </c>
    </row>
    <row r="125" spans="2:5" ht="43.2">
      <c r="B125" s="18" t="s">
        <v>148</v>
      </c>
      <c r="C125" s="8" t="e" cm="1">
        <f t="array" ref="C125">LEFT(_xleta.TEXT,num_chars)</f>
        <v>#VALUE!</v>
      </c>
      <c r="D125" s="7" t="s">
        <v>149</v>
      </c>
      <c r="E125" s="8" t="str">
        <f>LEFT(A2,4)</f>
        <v/>
      </c>
    </row>
    <row r="126" spans="2:5" ht="70.8">
      <c r="B126" s="18" t="s">
        <v>150</v>
      </c>
      <c r="C126" s="8" t="s">
        <v>151</v>
      </c>
      <c r="D126" s="7" t="s">
        <v>152</v>
      </c>
      <c r="E126" s="8" t="s">
        <v>153</v>
      </c>
    </row>
    <row r="127" spans="2:5" ht="43.2">
      <c r="B127" s="18" t="s">
        <v>154</v>
      </c>
      <c r="C127" s="8" t="e">
        <f>LEN(_xleta.TEXT)</f>
        <v>#VALUE!</v>
      </c>
      <c r="D127" s="7" t="s">
        <v>155</v>
      </c>
      <c r="E127" s="8">
        <f>LEN(A2)</f>
        <v>0</v>
      </c>
    </row>
    <row r="130" spans="2:5" ht="18">
      <c r="B130" s="15" t="s">
        <v>156</v>
      </c>
    </row>
    <row r="132" spans="2:5" ht="28.8">
      <c r="B132" s="6" t="s">
        <v>117</v>
      </c>
      <c r="C132" s="6" t="s">
        <v>101</v>
      </c>
      <c r="D132" s="6" t="s">
        <v>118</v>
      </c>
      <c r="E132" s="6" t="s">
        <v>102</v>
      </c>
    </row>
    <row r="133" spans="2:5" ht="86.4">
      <c r="B133" s="18" t="s">
        <v>157</v>
      </c>
      <c r="C133" s="8" t="e" cm="1">
        <f t="array" ref="C133">COUNTIF(range, criteria)</f>
        <v>#NAME?</v>
      </c>
      <c r="D133" s="7" t="s">
        <v>158</v>
      </c>
      <c r="E133" s="8">
        <f>COUNTIF(F:F,"Endangered")</f>
        <v>0</v>
      </c>
    </row>
    <row r="134" spans="2:5" ht="92.4">
      <c r="B134" s="18" t="s">
        <v>159</v>
      </c>
      <c r="C134" s="8" t="s">
        <v>160</v>
      </c>
      <c r="D134" s="7" t="s">
        <v>161</v>
      </c>
      <c r="E134" s="8">
        <f ca="1">COUNTIFS(E:E,"forest",F:F,"Endangered")</f>
        <v>0</v>
      </c>
    </row>
    <row r="135" spans="2:5" ht="57.6">
      <c r="B135" s="18" t="s">
        <v>162</v>
      </c>
      <c r="C135" s="8" t="e" cm="1">
        <f t="array" ref="C135">AVERAGEIF(range, criteria, average_range)</f>
        <v>#NAME?</v>
      </c>
      <c r="D135" s="7" t="s">
        <v>163</v>
      </c>
      <c r="E135" s="8" t="e">
        <f>AVERAGEIF(G:G,"High",B:B)</f>
        <v>#DIV/0!</v>
      </c>
    </row>
    <row r="136" spans="2:5" ht="43.2">
      <c r="B136" s="18" t="s">
        <v>164</v>
      </c>
      <c r="C136" s="7" t="s">
        <v>165</v>
      </c>
      <c r="D136" s="8">
        <f>SUMIF(F:F,"Safe",G:G)</f>
        <v>0</v>
      </c>
      <c r="E136" s="7"/>
    </row>
    <row r="137" spans="2:5" ht="43.2">
      <c r="B137" s="18" t="s">
        <v>166</v>
      </c>
      <c r="C137" s="8" t="e" cm="1">
        <f t="array" ref="C137">IFERROR(formula,value_if_error)</f>
        <v>#NAME?</v>
      </c>
      <c r="D137" s="7" t="s">
        <v>167</v>
      </c>
      <c r="E137" s="8" t="str">
        <f>IFERROR(A2/B2,"Check")</f>
        <v>Check</v>
      </c>
    </row>
    <row r="140" spans="2:5" ht="18">
      <c r="B140" s="15" t="s">
        <v>168</v>
      </c>
    </row>
    <row r="142" spans="2:5" ht="28.8">
      <c r="B142" s="6" t="s">
        <v>117</v>
      </c>
      <c r="C142" s="6" t="s">
        <v>101</v>
      </c>
      <c r="D142" s="6" t="s">
        <v>118</v>
      </c>
      <c r="E142" s="6" t="s">
        <v>102</v>
      </c>
    </row>
    <row r="143" spans="2:5" ht="118.8">
      <c r="B143" s="18" t="s">
        <v>169</v>
      </c>
      <c r="C143" s="8" t="s">
        <v>170</v>
      </c>
      <c r="D143" s="7" t="s">
        <v>171</v>
      </c>
      <c r="E143" s="8" t="s">
        <v>172</v>
      </c>
    </row>
    <row r="144" spans="2:5" ht="118.8">
      <c r="B144" s="18" t="s">
        <v>173</v>
      </c>
      <c r="C144" s="8" t="s">
        <v>174</v>
      </c>
      <c r="D144" s="7" t="s">
        <v>175</v>
      </c>
      <c r="E144" s="8">
        <f>VLOOKUP(A2, A:H, 5, FALSE)</f>
        <v>0</v>
      </c>
    </row>
    <row r="145" spans="2:5" ht="72">
      <c r="B145" s="18" t="s">
        <v>176</v>
      </c>
      <c r="C145" s="8" t="e" cm="1">
        <f t="array" ref="C145">INDEX(return_range, MATCH(lookup_value, lookup_range,0))</f>
        <v>#NAME?</v>
      </c>
      <c r="D145" s="7" t="s">
        <v>177</v>
      </c>
      <c r="E145" s="8">
        <f>INDEX(D:D, MATCH(A2, A:A,0))</f>
        <v>0</v>
      </c>
    </row>
    <row r="146" spans="2:5" ht="57.6">
      <c r="B146" s="18" t="s">
        <v>178</v>
      </c>
      <c r="C146" s="8" t="e" cm="1">
        <f t="array" aca="1" ref="C146" ca="1">INDIRECT(ref_text)</f>
        <v>#NAME?</v>
      </c>
      <c r="D146" s="7" t="s">
        <v>179</v>
      </c>
      <c r="E146" s="8" t="e" cm="1">
        <f t="array" aca="1" ref="E146" ca="1">INDIRECT("A"&amp;B2)</f>
        <v>#REF!</v>
      </c>
    </row>
    <row r="147" spans="2:5" ht="72">
      <c r="B147" s="18" t="s">
        <v>180</v>
      </c>
      <c r="C147" s="8" t="e" cm="1">
        <f t="array" aca="1" ref="C147" ca="1">OFFSET(reference, _xleta.ROWS, cols)</f>
        <v>#NAME?</v>
      </c>
      <c r="D147" s="7" t="s">
        <v>181</v>
      </c>
      <c r="E147" s="8">
        <f ca="1">OFFSET(A1,1,0)</f>
        <v>0</v>
      </c>
    </row>
    <row r="150" spans="2:5" ht="18">
      <c r="B150" s="15" t="s">
        <v>182</v>
      </c>
    </row>
    <row r="151" spans="2:5">
      <c r="B151" s="11"/>
    </row>
    <row r="152" spans="2:5">
      <c r="B152" s="11" t="s">
        <v>183</v>
      </c>
    </row>
    <row r="153" spans="2:5">
      <c r="B153" s="11" t="s">
        <v>184</v>
      </c>
    </row>
    <row r="154" spans="2:5">
      <c r="B154" s="11" t="s">
        <v>185</v>
      </c>
    </row>
    <row r="155" spans="2:5">
      <c r="B155" s="11" t="s">
        <v>186</v>
      </c>
    </row>
    <row r="156" spans="2:5">
      <c r="B156" s="11" t="s">
        <v>187</v>
      </c>
    </row>
    <row r="157" spans="2:5">
      <c r="B157" s="11"/>
    </row>
    <row r="158" spans="2:5">
      <c r="B158" s="11" t="s">
        <v>188</v>
      </c>
    </row>
    <row r="162" spans="2:4" ht="18">
      <c r="B162" s="15" t="s">
        <v>189</v>
      </c>
    </row>
    <row r="164" spans="2:4">
      <c r="B164" s="6" t="s">
        <v>190</v>
      </c>
      <c r="C164" s="6" t="s">
        <v>191</v>
      </c>
      <c r="D164" s="6" t="s">
        <v>102</v>
      </c>
    </row>
    <row r="165" spans="2:4" ht="28.8">
      <c r="B165" s="8" t="s">
        <v>192</v>
      </c>
      <c r="C165" s="7" t="s">
        <v>193</v>
      </c>
      <c r="D165" s="8">
        <f>SUM(A1:A5)</f>
        <v>0</v>
      </c>
    </row>
    <row r="166" spans="2:4" ht="27.6">
      <c r="B166" s="8" t="s">
        <v>194</v>
      </c>
      <c r="C166" s="7" t="s">
        <v>195</v>
      </c>
      <c r="D166" s="8" t="s">
        <v>196</v>
      </c>
    </row>
    <row r="167" spans="2:4" ht="28.8">
      <c r="B167" s="8" t="s">
        <v>197</v>
      </c>
      <c r="C167" s="7" t="s">
        <v>198</v>
      </c>
      <c r="D167" s="8" t="e">
        <f>(A1+B1)*C1</f>
        <v>#VALUE!</v>
      </c>
    </row>
    <row r="168" spans="2:4" ht="115.2">
      <c r="B168" s="8" t="s">
        <v>199</v>
      </c>
      <c r="C168" s="7" t="s">
        <v>200</v>
      </c>
      <c r="D168" s="8" t="str">
        <f>IF(A1&gt;0,"Yes","No")</f>
        <v>Yes</v>
      </c>
    </row>
    <row r="169" spans="2:4" ht="115.2">
      <c r="B169" s="8" t="s">
        <v>201</v>
      </c>
      <c r="C169" s="7" t="s">
        <v>202</v>
      </c>
      <c r="D169" s="8" t="s">
        <v>203</v>
      </c>
    </row>
    <row r="170" spans="2:4" ht="115.2">
      <c r="B170" s="8" t="s">
        <v>204</v>
      </c>
      <c r="C170" s="7" t="s">
        <v>205</v>
      </c>
      <c r="D170" s="8" t="s">
        <v>206</v>
      </c>
    </row>
    <row r="173" spans="2:4" ht="18">
      <c r="B173" s="15" t="s">
        <v>207</v>
      </c>
    </row>
    <row r="174" spans="2:4">
      <c r="B174" s="11"/>
    </row>
    <row r="175" spans="2:4">
      <c r="B175" s="17" t="s">
        <v>208</v>
      </c>
    </row>
    <row r="176" spans="2:4">
      <c r="B176" s="11"/>
    </row>
    <row r="177" spans="2:2">
      <c r="B177" s="17" t="s">
        <v>209</v>
      </c>
    </row>
    <row r="178" spans="2:2">
      <c r="B178" s="11"/>
    </row>
    <row r="179" spans="2:2">
      <c r="B179" s="17" t="s">
        <v>210</v>
      </c>
    </row>
    <row r="180" spans="2:2">
      <c r="B180" s="11"/>
    </row>
    <row r="181" spans="2:2">
      <c r="B181" s="17" t="s">
        <v>211</v>
      </c>
    </row>
    <row r="182" spans="2:2">
      <c r="B182" s="11"/>
    </row>
    <row r="183" spans="2:2">
      <c r="B183" s="17" t="s">
        <v>212</v>
      </c>
    </row>
    <row r="184" spans="2:2">
      <c r="B184" s="11"/>
    </row>
    <row r="185" spans="2:2">
      <c r="B185" s="17" t="s">
        <v>213</v>
      </c>
    </row>
    <row r="186" spans="2:2">
      <c r="B186" s="11"/>
    </row>
    <row r="187" spans="2:2">
      <c r="B187" s="17" t="s">
        <v>214</v>
      </c>
    </row>
    <row r="188" spans="2:2">
      <c r="B188" s="11"/>
    </row>
    <row r="189" spans="2:2">
      <c r="B189" s="17" t="s">
        <v>215</v>
      </c>
    </row>
    <row r="190" spans="2:2">
      <c r="B190" s="11"/>
    </row>
    <row r="191" spans="2:2">
      <c r="B191" s="17" t="s">
        <v>216</v>
      </c>
    </row>
    <row r="195" spans="2:2" ht="18">
      <c r="B195" s="15" t="s">
        <v>217</v>
      </c>
    </row>
    <row r="196" spans="2:2">
      <c r="B196" s="11"/>
    </row>
    <row r="197" spans="2:2">
      <c r="B197" s="11" t="s">
        <v>218</v>
      </c>
    </row>
    <row r="198" spans="2:2">
      <c r="B198" s="11"/>
    </row>
    <row r="199" spans="2:2">
      <c r="B199" s="11" t="s">
        <v>219</v>
      </c>
    </row>
    <row r="200" spans="2:2">
      <c r="B200" s="11"/>
    </row>
    <row r="201" spans="2:2">
      <c r="B201" s="11" t="s">
        <v>220</v>
      </c>
    </row>
    <row r="202" spans="2:2">
      <c r="B202" s="11"/>
    </row>
    <row r="203" spans="2:2">
      <c r="B203" s="11" t="s">
        <v>221</v>
      </c>
    </row>
    <row r="204" spans="2:2">
      <c r="B204" s="11"/>
    </row>
    <row r="205" spans="2:2">
      <c r="B205" s="1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Zoo_Data</vt:lpstr>
      <vt:lpstr>helpers</vt:lpstr>
      <vt:lpstr>Zoo_Dashboard</vt:lpstr>
      <vt:lpstr>guide</vt:lpstr>
      <vt:lpstr>Zoo_category</vt:lpstr>
      <vt:lpstr>Zoo_diet</vt:lpstr>
      <vt:lpstr>Zoo_habitat</vt:lpstr>
      <vt:lpstr>Zoo_iucn</vt:lpstr>
      <vt:lpstr>Zoo_length</vt:lpstr>
      <vt:lpstr>Zoo_pop</vt:lpstr>
      <vt:lpstr>Zoo_species</vt:lpstr>
      <vt:lpstr>Zoo_weight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Breen</dc:creator>
  <cp:lastModifiedBy>sam breen</cp:lastModifiedBy>
  <dcterms:created xsi:type="dcterms:W3CDTF">2025-10-24T13:48:19Z</dcterms:created>
  <dcterms:modified xsi:type="dcterms:W3CDTF">2025-10-26T19:02:37Z</dcterms:modified>
</cp:coreProperties>
</file>